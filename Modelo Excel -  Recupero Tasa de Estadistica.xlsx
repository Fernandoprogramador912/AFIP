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rna\OneDrive\Escritorio\CURSOR - Tasa de Estadistica\"/>
    </mc:Choice>
  </mc:AlternateContent>
  <xr:revisionPtr revIDLastSave="0" documentId="13_ncr:1_{27CCF63B-2FED-4EE8-ACCD-ACE4B1C85C3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V3_Reglas" sheetId="3" r:id="rId1"/>
    <sheet name="V2_Ejemplo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4" l="1"/>
  <c r="N5" i="4"/>
  <c r="Q5" i="4" s="1"/>
  <c r="S5" i="4" s="1"/>
  <c r="U5" i="4" s="1"/>
  <c r="U6" i="4" s="1"/>
  <c r="J5" i="4"/>
  <c r="P5" i="4" s="1"/>
  <c r="R5" i="4" s="1"/>
  <c r="T5" i="4" s="1"/>
  <c r="T6" i="4" s="1"/>
  <c r="I5" i="4"/>
  <c r="X4" i="4"/>
  <c r="W4" i="4"/>
  <c r="V4" i="4"/>
  <c r="Q4" i="4"/>
  <c r="S4" i="4" s="1"/>
  <c r="U4" i="4" s="1"/>
  <c r="N4" i="4"/>
  <c r="J4" i="4"/>
  <c r="P4" i="4" s="1"/>
  <c r="R4" i="4" s="1"/>
  <c r="T4" i="4" s="1"/>
  <c r="I4" i="4"/>
  <c r="O5" i="4" l="1"/>
  <c r="X5" i="4" s="1"/>
  <c r="W5" i="4"/>
  <c r="O4" i="4"/>
</calcChain>
</file>

<file path=xl/sharedStrings.xml><?xml version="1.0" encoding="utf-8"?>
<sst xmlns="http://schemas.openxmlformats.org/spreadsheetml/2006/main" count="56" uniqueCount="55">
  <si>
    <t>PROVEEDOR</t>
  </si>
  <si>
    <t>D.I.</t>
  </si>
  <si>
    <t>TC DESPACHO</t>
  </si>
  <si>
    <t>OFICIALIZACION</t>
  </si>
  <si>
    <t>25001IC06005013F</t>
  </si>
  <si>
    <t>ALICUOTA COBRADA</t>
  </si>
  <si>
    <t>ALICUOTA CORRECTA</t>
  </si>
  <si>
    <t>TOPE USD</t>
  </si>
  <si>
    <t>T.E. MONT MAX 061</t>
  </si>
  <si>
    <t>T.E. MONT MAX2 062</t>
  </si>
  <si>
    <t>BASE RECONSTR. S/011</t>
  </si>
  <si>
    <t>DIF. BASE VS CIF</t>
  </si>
  <si>
    <t>T.E. CORRECTA S/BASE</t>
  </si>
  <si>
    <t>T.E. CORRECTA S/CIF</t>
  </si>
  <si>
    <t>EXCESO USD S/BASE</t>
  </si>
  <si>
    <t>EXCESO USD S/CIF</t>
  </si>
  <si>
    <t>A SOLICITAR ARS S/BASE</t>
  </si>
  <si>
    <t>A SOLICITAR ARS S/CIF</t>
  </si>
  <si>
    <t>TIENE MONT MAX</t>
  </si>
  <si>
    <t>METODO SUGERIDO</t>
  </si>
  <si>
    <t>ESTADO REVISION</t>
  </si>
  <si>
    <t>GLITLAND LIGHTING TECH NINGBO CO.,LTD</t>
  </si>
  <si>
    <t>25001IC06005013F.pdf</t>
  </si>
  <si>
    <t>PROTOCOLO V3 - RECUPERO TASA DE ESTADISTICA</t>
  </si>
  <si>
    <t>Regla 1</t>
  </si>
  <si>
    <t>Sin 061/062</t>
  </si>
  <si>
    <t>Usar BASE 011 como método sugerido</t>
  </si>
  <si>
    <t>Controlar diferencia Base vs CIF.</t>
  </si>
  <si>
    <t>Regla 2</t>
  </si>
  <si>
    <t>Con 061/062</t>
  </si>
  <si>
    <t>Usar CIF como método sugerido</t>
  </si>
  <si>
    <t>No mezclar 061/062 en la fórmula inversa del 011.</t>
  </si>
  <si>
    <t>Regla 3</t>
  </si>
  <si>
    <t>T.E. total pagada</t>
  </si>
  <si>
    <t>011 + 061 + 062</t>
  </si>
  <si>
    <t>Mostrar los conceptos por separado.</t>
  </si>
  <si>
    <t>Regla 4</t>
  </si>
  <si>
    <t>Monto sugerido</t>
  </si>
  <si>
    <t>Si hay MONT MAX =&gt; exceso por CIF; si no hay MONT MAX =&gt; exceso por Base 011</t>
  </si>
  <si>
    <t>Si no cierra, marcar REVISAR.</t>
  </si>
  <si>
    <t>Advertencia</t>
  </si>
  <si>
    <t>Hoja 1</t>
  </si>
  <si>
    <t>Los importes 011/061/062 visibles en hoja 1 pueden corresponder a la liquidación de esa hoja/ítem y no necesariamente al total del despacho.</t>
  </si>
  <si>
    <t>Validar casos multi-ítem antes de presentar.</t>
  </si>
  <si>
    <t>T.E. 011</t>
  </si>
  <si>
    <t>T.E. TOTAL COBRADA</t>
  </si>
  <si>
    <t>FOB</t>
  </si>
  <si>
    <t>FLETE</t>
  </si>
  <si>
    <t>SEGURO</t>
  </si>
  <si>
    <t>CIF DOCUMENTAL</t>
  </si>
  <si>
    <t>ARCHIVO FUENTE</t>
  </si>
  <si>
    <t>TOTAL</t>
  </si>
  <si>
    <t>25001IC06004713L</t>
  </si>
  <si>
    <t>NINGHAI YONGZHENG ELECTRONICS CO.LTD</t>
  </si>
  <si>
    <t>25001IC06004713L.pdf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</si>
</sst>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USD]\ #,##0.00"/>
    <numFmt numFmtId="165" formatCode="&quot;$&quot;\ #,##0.00"/>
    <numFmt numFmtId="166" formatCode="dd/mm/yyyy"/>
    <numFmt numFmtId="167" formatCode="0.0%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FFF4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  <xf numFmtId="0" fontId="2" fillId="4" borderId="0" xfId="0" applyFont="1" applyFill="1" applyAlignment="1">
      <alignment horizontal="left" vertical="center"/>
    </xf>
    <xf numFmtId="0" fontId="0" fillId="0" borderId="0" xfId="0"/>
    <xf numFmtId="0" fontId="4" fillId="6" borderId="0" xfId="0" applyFont="1" applyFill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sqref="A1:D1"/>
    </sheetView>
  </sheetViews>
  <sheetFormatPr baseColWidth="10" defaultColWidth="8.7265625" defaultRowHeight="14.5" x14ac:dyDescent="0.35"/>
  <cols>
    <col min="1" max="1" width="16" customWidth="1"/>
    <col min="2" max="2" width="22" customWidth="1"/>
    <col min="3" max="3" width="45" customWidth="1"/>
    <col min="4" max="4" width="38" customWidth="1"/>
  </cols>
  <sheetData>
    <row r="1" spans="1:4" ht="15.5" x14ac:dyDescent="0.35">
      <c r="A1" s="14" t="s">
        <v>23</v>
      </c>
      <c r="B1" s="13"/>
      <c r="C1" s="13"/>
      <c r="D1" s="13"/>
    </row>
    <row r="3" spans="1:4" ht="22.65" customHeight="1" x14ac:dyDescent="0.35">
      <c r="A3" s="9" t="s">
        <v>24</v>
      </c>
      <c r="B3" s="10" t="s">
        <v>25</v>
      </c>
      <c r="C3" s="10" t="s">
        <v>26</v>
      </c>
      <c r="D3" s="10" t="s">
        <v>27</v>
      </c>
    </row>
    <row r="4" spans="1:4" ht="22.65" customHeight="1" x14ac:dyDescent="0.35">
      <c r="A4" s="9" t="s">
        <v>28</v>
      </c>
      <c r="B4" s="10" t="s">
        <v>29</v>
      </c>
      <c r="C4" s="10" t="s">
        <v>30</v>
      </c>
      <c r="D4" s="10" t="s">
        <v>31</v>
      </c>
    </row>
    <row r="5" spans="1:4" ht="22.65" customHeight="1" x14ac:dyDescent="0.35">
      <c r="A5" s="9" t="s">
        <v>32</v>
      </c>
      <c r="B5" s="10" t="s">
        <v>33</v>
      </c>
      <c r="C5" s="10" t="s">
        <v>34</v>
      </c>
      <c r="D5" s="10" t="s">
        <v>35</v>
      </c>
    </row>
    <row r="6" spans="1:4" ht="22.65" customHeight="1" x14ac:dyDescent="0.35">
      <c r="A6" s="9" t="s">
        <v>36</v>
      </c>
      <c r="B6" s="10" t="s">
        <v>37</v>
      </c>
      <c r="C6" s="10" t="s">
        <v>38</v>
      </c>
      <c r="D6" s="10" t="s">
        <v>39</v>
      </c>
    </row>
    <row r="7" spans="1:4" ht="22.65" customHeight="1" x14ac:dyDescent="0.35">
      <c r="A7" s="9" t="s">
        <v>40</v>
      </c>
      <c r="B7" s="11" t="s">
        <v>41</v>
      </c>
      <c r="C7" s="11" t="s">
        <v>42</v>
      </c>
      <c r="D7" s="11" t="s">
        <v>43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"/>
  <sheetViews>
    <sheetView showGridLines="0" tabSelected="1" zoomScale="70" zoomScaleNormal="70" workbookViewId="0">
      <selection activeCell="C24" sqref="C24"/>
    </sheetView>
  </sheetViews>
  <sheetFormatPr baseColWidth="10" defaultColWidth="8.7265625" defaultRowHeight="14.5" x14ac:dyDescent="0.35"/>
  <cols>
    <col min="1" max="1" width="37.08984375" bestFit="1" customWidth="1"/>
    <col min="2" max="2" width="16.453125" bestFit="1" customWidth="1"/>
    <col min="3" max="3" width="18.7265625" bestFit="1" customWidth="1"/>
    <col min="4" max="4" width="12.54296875" bestFit="1" customWidth="1"/>
    <col min="5" max="5" width="9.26953125" bestFit="1" customWidth="1"/>
    <col min="6" max="6" width="11.7265625" bestFit="1" customWidth="1"/>
    <col min="7" max="7" width="13.6328125" bestFit="1" customWidth="1"/>
    <col min="8" max="8" width="18.7265625" bestFit="1" customWidth="1"/>
    <col min="9" max="9" width="11.7265625" bestFit="1" customWidth="1"/>
    <col min="10" max="10" width="14.81640625" bestFit="1" customWidth="1"/>
    <col min="11" max="11" width="12.7265625" bestFit="1" customWidth="1"/>
    <col min="12" max="12" width="11.7265625" bestFit="1" customWidth="1"/>
    <col min="13" max="13" width="10.1796875" bestFit="1" customWidth="1"/>
    <col min="14" max="14" width="12.81640625" bestFit="1" customWidth="1"/>
    <col min="15" max="15" width="13.7265625" bestFit="1" customWidth="1"/>
    <col min="16" max="17" width="13.26953125" bestFit="1" customWidth="1"/>
    <col min="18" max="19" width="11.1796875" bestFit="1" customWidth="1"/>
    <col min="20" max="21" width="14.6328125" bestFit="1" customWidth="1"/>
    <col min="22" max="22" width="11.453125" bestFit="1" customWidth="1"/>
    <col min="23" max="23" width="9.54296875" bestFit="1" customWidth="1"/>
    <col min="24" max="24" width="16" customWidth="1"/>
    <col min="25" max="25" width="19.81640625" bestFit="1" customWidth="1"/>
  </cols>
  <sheetData>
    <row r="1" spans="1:25" ht="18" customHeight="1" x14ac:dyDescent="0.35">
      <c r="A1" s="1" t="s">
        <v>5</v>
      </c>
      <c r="B1" s="8">
        <v>0.03</v>
      </c>
      <c r="C1" s="1" t="s">
        <v>6</v>
      </c>
      <c r="D1" s="8">
        <v>5.0000000000000001E-3</v>
      </c>
      <c r="E1" s="1" t="s">
        <v>7</v>
      </c>
      <c r="F1" s="2">
        <v>500</v>
      </c>
      <c r="H1" s="12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3" spans="1:25" ht="38" customHeight="1" x14ac:dyDescent="0.35">
      <c r="A3" s="3" t="s">
        <v>0</v>
      </c>
      <c r="B3" s="3" t="s">
        <v>1</v>
      </c>
      <c r="C3" s="3" t="s">
        <v>3</v>
      </c>
      <c r="D3" s="3" t="s">
        <v>2</v>
      </c>
      <c r="E3" s="3" t="s">
        <v>5</v>
      </c>
      <c r="F3" s="3" t="s">
        <v>44</v>
      </c>
      <c r="G3" s="3" t="s">
        <v>8</v>
      </c>
      <c r="H3" s="3" t="s">
        <v>9</v>
      </c>
      <c r="I3" s="3" t="s">
        <v>45</v>
      </c>
      <c r="J3" s="3" t="s">
        <v>10</v>
      </c>
      <c r="K3" s="3" t="s">
        <v>46</v>
      </c>
      <c r="L3" s="3" t="s">
        <v>47</v>
      </c>
      <c r="M3" s="3" t="s">
        <v>48</v>
      </c>
      <c r="N3" s="3" t="s">
        <v>49</v>
      </c>
      <c r="O3" s="3" t="s">
        <v>11</v>
      </c>
      <c r="P3" s="3" t="s">
        <v>12</v>
      </c>
      <c r="Q3" s="3" t="s">
        <v>13</v>
      </c>
      <c r="R3" s="3" t="s">
        <v>14</v>
      </c>
      <c r="S3" s="3" t="s">
        <v>15</v>
      </c>
      <c r="T3" s="3" t="s">
        <v>16</v>
      </c>
      <c r="U3" s="3" t="s">
        <v>17</v>
      </c>
      <c r="V3" s="3" t="s">
        <v>18</v>
      </c>
      <c r="W3" s="3" t="s">
        <v>19</v>
      </c>
      <c r="X3" s="3" t="s">
        <v>20</v>
      </c>
      <c r="Y3" s="3" t="s">
        <v>50</v>
      </c>
    </row>
    <row r="4" spans="1:25" s="21" customFormat="1" ht="24" customHeight="1" x14ac:dyDescent="0.35">
      <c r="A4" s="15" t="s">
        <v>21</v>
      </c>
      <c r="B4" s="16" t="s">
        <v>4</v>
      </c>
      <c r="C4" s="17">
        <v>45799</v>
      </c>
      <c r="D4" s="18">
        <v>1146</v>
      </c>
      <c r="E4" s="19">
        <v>0.03</v>
      </c>
      <c r="F4" s="20">
        <v>463.98</v>
      </c>
      <c r="G4" s="20">
        <v>180</v>
      </c>
      <c r="H4" s="20">
        <v>0</v>
      </c>
      <c r="I4" s="20">
        <f>SUM(F4:H4)</f>
        <v>643.98</v>
      </c>
      <c r="J4" s="20">
        <f>IF(AND(F4&gt;0,E4&gt;0),F4/E4,"")</f>
        <v>15466.000000000002</v>
      </c>
      <c r="K4" s="20">
        <v>19932</v>
      </c>
      <c r="L4" s="20">
        <v>1598.18</v>
      </c>
      <c r="M4" s="20">
        <v>107.65</v>
      </c>
      <c r="N4" s="20">
        <f>SUM(K4:M4)</f>
        <v>21637.83</v>
      </c>
      <c r="O4" s="20">
        <f>IF(AND(J4&lt;&gt;"",N4&lt;&gt;""),N4-J4,"")</f>
        <v>6171.83</v>
      </c>
      <c r="P4" s="20">
        <f>IF(J4="","",MIN(J4*$D$1,$F$1))</f>
        <v>77.330000000000013</v>
      </c>
      <c r="Q4" s="20">
        <f>IF(N4="","",MIN(N4*$D$1,$F$1))</f>
        <v>108.18915000000001</v>
      </c>
      <c r="R4" s="20">
        <f>IF(P4="","",MAX(I4-P4,0))</f>
        <v>566.65</v>
      </c>
      <c r="S4" s="20">
        <f>IF(Q4="","",MAX(I4-Q4,0))</f>
        <v>535.79084999999998</v>
      </c>
      <c r="T4" s="18">
        <f>IF(R4="","",R4*D4)</f>
        <v>649380.9</v>
      </c>
      <c r="U4" s="18">
        <f>IF(S4="","",S4*D4)</f>
        <v>614016.31409999996</v>
      </c>
      <c r="V4" s="16" t="str">
        <f>IF(SUM(G4:H4)&gt;0,"SI","NO")</f>
        <v>SI</v>
      </c>
      <c r="W4" s="16" t="str">
        <f>IF(V4="SI","CIF",IF(ABS(O4)&lt;=1,"BASE 011","REVISAR"))</f>
        <v>CIF</v>
      </c>
      <c r="X4" s="16" t="str">
        <f>IF(V4="SI","CASO ESPECIAL",IF(ABS(O4)&lt;=1,"OK","REVISAR"))</f>
        <v>CASO ESPECIAL</v>
      </c>
      <c r="Y4" s="15" t="s">
        <v>22</v>
      </c>
    </row>
    <row r="5" spans="1:25" s="21" customFormat="1" ht="24" customHeight="1" x14ac:dyDescent="0.35">
      <c r="A5" s="15" t="s">
        <v>53</v>
      </c>
      <c r="B5" s="16" t="s">
        <v>52</v>
      </c>
      <c r="C5" s="17">
        <v>45791</v>
      </c>
      <c r="D5" s="18">
        <v>1125.5</v>
      </c>
      <c r="E5" s="19">
        <v>0.03</v>
      </c>
      <c r="F5" s="20">
        <v>1737.1</v>
      </c>
      <c r="G5" s="20">
        <v>0</v>
      </c>
      <c r="H5" s="20">
        <v>0</v>
      </c>
      <c r="I5" s="20">
        <f>SUM(F5:H5)</f>
        <v>1737.1</v>
      </c>
      <c r="J5" s="20">
        <f>IF(AND(F5&gt;0,E5&gt;0),F5/E5,"")</f>
        <v>57903.333333333336</v>
      </c>
      <c r="K5" s="20">
        <v>51880</v>
      </c>
      <c r="L5" s="20">
        <v>5450</v>
      </c>
      <c r="M5" s="20">
        <v>573.29999999999995</v>
      </c>
      <c r="N5" s="20">
        <f>SUM(K5:M5)</f>
        <v>57903.3</v>
      </c>
      <c r="O5" s="20">
        <f>IF(AND(J5&lt;&gt;"",N5&lt;&gt;""),N5-J5,"")</f>
        <v>-3.3333333332848269E-2</v>
      </c>
      <c r="P5" s="20">
        <f>IF(J5="","",MIN(J5*$D$1,$F$1))</f>
        <v>289.51666666666671</v>
      </c>
      <c r="Q5" s="20">
        <f>IF(N5="","",MIN(N5*$D$1,$F$1))</f>
        <v>289.51650000000001</v>
      </c>
      <c r="R5" s="20">
        <f>IF(P5="","",MAX(I5-P5,0))</f>
        <v>1447.5833333333333</v>
      </c>
      <c r="S5" s="20">
        <f>IF(Q5="","",MAX(I5-Q5,0))</f>
        <v>1447.5835</v>
      </c>
      <c r="T5" s="18">
        <f>IF(R5="","",R5*D5)</f>
        <v>1629255.0416666665</v>
      </c>
      <c r="U5" s="18">
        <f>IF(S5="","",S5*D5)</f>
        <v>1629255.2292499999</v>
      </c>
      <c r="V5" s="16" t="str">
        <f>IF(SUM(G5:H5)&gt;0,"SI","NO")</f>
        <v>NO</v>
      </c>
      <c r="W5" s="16" t="str">
        <f>IF(V5="SI","CIF",IF(ABS(O5)&lt;=1,"BASE 011","REVISAR"))</f>
        <v>BASE 011</v>
      </c>
      <c r="X5" s="16" t="str">
        <f>IF(V5="SI","CASO ESPECIAL",IF(ABS(O5)&lt;=1,"OK","REVISAR"))</f>
        <v>OK</v>
      </c>
      <c r="Y5" s="15" t="s">
        <v>54</v>
      </c>
    </row>
    <row r="6" spans="1:25" x14ac:dyDescent="0.3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7" t="s">
        <v>51</v>
      </c>
      <c r="T6" s="4">
        <f>SUM(T4:T5)</f>
        <v>2278635.9416666664</v>
      </c>
      <c r="U6" s="4">
        <f>SUM(U4:U5)</f>
        <v>2243271.5433499999</v>
      </c>
      <c r="V6" s="6"/>
      <c r="W6" s="6"/>
      <c r="X6" s="6"/>
      <c r="Y6" s="5"/>
    </row>
  </sheetData>
  <mergeCells count="1">
    <mergeCell ref="H1:Y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V3_Reglas</vt:lpstr>
      <vt:lpstr>V2_Ejemplo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cavalie</dc:creator>
  <cp:lastModifiedBy>fernando cavalie</cp:lastModifiedBy>
  <dcterms:created xsi:type="dcterms:W3CDTF">2026-04-02T23:51:43Z</dcterms:created>
  <dcterms:modified xsi:type="dcterms:W3CDTF">2026-04-04T14:50:45Z</dcterms:modified>
</cp:coreProperties>
</file>